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e6beb1daf436a7/Desktop/"/>
    </mc:Choice>
  </mc:AlternateContent>
  <xr:revisionPtr revIDLastSave="0" documentId="14_{D6F2EAC7-E44A-43A0-9590-C580A77D83BC}" xr6:coauthVersionLast="47" xr6:coauthVersionMax="47" xr10:uidLastSave="{00000000-0000-0000-0000-000000000000}"/>
  <bookViews>
    <workbookView xWindow="-110" yWindow="-110" windowWidth="19420" windowHeight="10300" xr2:uid="{4B8B0359-FB2D-4711-ADBC-56C9BDBF8E82}"/>
  </bookViews>
  <sheets>
    <sheet name="Analysis dashbord" sheetId="5" r:id="rId1"/>
    <sheet name="Product Sales Data" sheetId="1" r:id="rId2"/>
    <sheet name="Monthly Expenses" sheetId="2" r:id="rId3"/>
    <sheet name="Customer Insights" sheetId="3" r:id="rId4"/>
  </sheet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" l="1"/>
  <c r="G3" i="2"/>
  <c r="G4" i="2"/>
  <c r="G5" i="2"/>
  <c r="G6" i="2"/>
  <c r="G7" i="2"/>
  <c r="G2" i="2"/>
  <c r="F3" i="1"/>
  <c r="F4" i="1"/>
  <c r="F5" i="1"/>
  <c r="F6" i="1"/>
  <c r="F7" i="1"/>
  <c r="F9" i="1"/>
  <c r="F10" i="1"/>
  <c r="F11" i="1"/>
  <c r="F12" i="1"/>
  <c r="F13" i="1"/>
  <c r="F14" i="1"/>
  <c r="F16" i="1"/>
  <c r="F17" i="1"/>
  <c r="F18" i="1"/>
  <c r="F19" i="1"/>
  <c r="F20" i="1"/>
  <c r="F21" i="1"/>
  <c r="F23" i="1"/>
  <c r="F24" i="1"/>
  <c r="F25" i="1"/>
  <c r="F26" i="1"/>
  <c r="F27" i="1"/>
  <c r="F28" i="1"/>
  <c r="F30" i="1"/>
  <c r="F31" i="1"/>
  <c r="F32" i="1"/>
  <c r="F33" i="1"/>
  <c r="F34" i="1"/>
  <c r="F35" i="1"/>
  <c r="F37" i="1"/>
  <c r="F38" i="1"/>
  <c r="F39" i="1"/>
  <c r="F40" i="1"/>
  <c r="F41" i="1"/>
  <c r="F42" i="1"/>
  <c r="H2" i="1"/>
  <c r="H37" i="1"/>
  <c r="H3" i="1"/>
  <c r="H4" i="1"/>
  <c r="H5" i="1"/>
  <c r="H6" i="1"/>
  <c r="H7" i="1"/>
  <c r="H9" i="1"/>
  <c r="H10" i="1"/>
  <c r="H11" i="1"/>
  <c r="H12" i="1"/>
  <c r="H13" i="1"/>
  <c r="H14" i="1"/>
  <c r="H16" i="1"/>
  <c r="H17" i="1"/>
  <c r="H18" i="1"/>
  <c r="H19" i="1"/>
  <c r="H20" i="1"/>
  <c r="H21" i="1"/>
  <c r="H23" i="1"/>
  <c r="H24" i="1"/>
  <c r="H25" i="1"/>
  <c r="H26" i="1"/>
  <c r="H27" i="1"/>
  <c r="H28" i="1"/>
  <c r="H30" i="1"/>
  <c r="H31" i="1"/>
  <c r="H32" i="1"/>
  <c r="H33" i="1"/>
  <c r="H34" i="1"/>
  <c r="H35" i="1"/>
  <c r="H38" i="1"/>
  <c r="H39" i="1"/>
  <c r="H40" i="1"/>
  <c r="H41" i="1"/>
  <c r="H42" i="1"/>
  <c r="F2" i="1"/>
  <c r="H43" i="1" l="1"/>
</calcChain>
</file>

<file path=xl/sharedStrings.xml><?xml version="1.0" encoding="utf-8"?>
<sst xmlns="http://schemas.openxmlformats.org/spreadsheetml/2006/main" count="161" uniqueCount="55">
  <si>
    <t>Month</t>
  </si>
  <si>
    <t>Model</t>
  </si>
  <si>
    <t>Units Sold</t>
  </si>
  <si>
    <t>Cost/Unit</t>
  </si>
  <si>
    <t>Selling Price/Unit</t>
  </si>
  <si>
    <t>Revenue</t>
  </si>
  <si>
    <t>Profit/Unit</t>
  </si>
  <si>
    <t>Total Profit</t>
  </si>
  <si>
    <t>Jan</t>
  </si>
  <si>
    <t>Nexon</t>
  </si>
  <si>
    <t>Punch</t>
  </si>
  <si>
    <t>Tiago</t>
  </si>
  <si>
    <t>Harrier</t>
  </si>
  <si>
    <t>Safari</t>
  </si>
  <si>
    <t>Altroz</t>
  </si>
  <si>
    <t>Feb</t>
  </si>
  <si>
    <t>Mar</t>
  </si>
  <si>
    <t>Apr</t>
  </si>
  <si>
    <t>May</t>
  </si>
  <si>
    <t>Jun</t>
  </si>
  <si>
    <t>Salary</t>
  </si>
  <si>
    <t>Plant Maintenance</t>
  </si>
  <si>
    <t>Marketing</t>
  </si>
  <si>
    <t>Logistics</t>
  </si>
  <si>
    <t>R&amp;D</t>
  </si>
  <si>
    <t>Total Expenses</t>
  </si>
  <si>
    <t>Total</t>
  </si>
  <si>
    <t>Customer Name</t>
  </si>
  <si>
    <t>City</t>
  </si>
  <si>
    <t>Gender</t>
  </si>
  <si>
    <t>Preferred Model</t>
  </si>
  <si>
    <t>Budget</t>
  </si>
  <si>
    <t>Payment Mode</t>
  </si>
  <si>
    <t>Amit Sharma</t>
  </si>
  <si>
    <t>Mumbai</t>
  </si>
  <si>
    <t>M</t>
  </si>
  <si>
    <t>Loan</t>
  </si>
  <si>
    <t>Priya Patil</t>
  </si>
  <si>
    <t>Pune</t>
  </si>
  <si>
    <t>F</t>
  </si>
  <si>
    <t>Full Payment</t>
  </si>
  <si>
    <t>Rohan Shetty</t>
  </si>
  <si>
    <t>Goa</t>
  </si>
  <si>
    <t>EMI</t>
  </si>
  <si>
    <t>Sneha Desai</t>
  </si>
  <si>
    <t>Nashik</t>
  </si>
  <si>
    <t>Vikram Singh</t>
  </si>
  <si>
    <t>Delhi</t>
  </si>
  <si>
    <t>Aarti Joshi</t>
  </si>
  <si>
    <t>Surat</t>
  </si>
  <si>
    <t>Row Labels</t>
  </si>
  <si>
    <t>(blank)</t>
  </si>
  <si>
    <t>Grand Total</t>
  </si>
  <si>
    <t>Sum of Units Sold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</si>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</sst>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" formatCode="0"/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 dashbord!PivotTable1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'Analysis dashbord'!$B$3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'Analysis dashbord'!$A$4:$A$11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(blank)</c:v>
                </c:pt>
              </c:strCache>
            </c:strRef>
          </c:cat>
          <c:val>
            <c:numRef>
              <c:f>'Analysis dashbord'!$B$4:$B$11</c:f>
              <c:numCache>
                <c:formatCode>General</c:formatCode>
                <c:ptCount val="7"/>
                <c:pt idx="0">
                  <c:v>17800</c:v>
                </c:pt>
                <c:pt idx="1">
                  <c:v>18800</c:v>
                </c:pt>
                <c:pt idx="2">
                  <c:v>19650</c:v>
                </c:pt>
                <c:pt idx="3">
                  <c:v>18280</c:v>
                </c:pt>
                <c:pt idx="4">
                  <c:v>20350</c:v>
                </c:pt>
                <c:pt idx="5">
                  <c:v>21250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5-4A4E-A930-F2FC7D123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081440"/>
        <c:axId val="204085760"/>
        <c:axId val="0"/>
      </c:bar3DChart>
      <c:catAx>
        <c:axId val="20408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5760"/>
        <c:crosses val="autoZero"/>
        <c:auto val="1"/>
        <c:lblAlgn val="ctr"/>
        <c:lblOffset val="100"/>
        <c:noMultiLvlLbl val="0"/>
      </c:catAx>
      <c:valAx>
        <c:axId val="2040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 dashbord!PivotTable2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Model-wise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'Analysis dashbord'!$G$1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'Analysis dashbord'!$F$2:$F$9</c:f>
              <c:strCache>
                <c:ptCount val="7"/>
                <c:pt idx="0">
                  <c:v>Altroz</c:v>
                </c:pt>
                <c:pt idx="1">
                  <c:v>Harrier</c:v>
                </c:pt>
                <c:pt idx="2">
                  <c:v>Nexon</c:v>
                </c:pt>
                <c:pt idx="3">
                  <c:v>Punch</c:v>
                </c:pt>
                <c:pt idx="4">
                  <c:v>Safari</c:v>
                </c:pt>
                <c:pt idx="5">
                  <c:v>Tiago</c:v>
                </c:pt>
                <c:pt idx="6">
                  <c:v>(blank)</c:v>
                </c:pt>
              </c:strCache>
            </c:strRef>
          </c:cat>
          <c:val>
            <c:numRef>
              <c:f>'Analysis dashbord'!$G$2:$G$9</c:f>
              <c:numCache>
                <c:formatCode>General</c:formatCode>
                <c:ptCount val="7"/>
                <c:pt idx="0">
                  <c:v>16850</c:v>
                </c:pt>
                <c:pt idx="1">
                  <c:v>8100</c:v>
                </c:pt>
                <c:pt idx="2">
                  <c:v>27500</c:v>
                </c:pt>
                <c:pt idx="3">
                  <c:v>32200</c:v>
                </c:pt>
                <c:pt idx="4">
                  <c:v>6780</c:v>
                </c:pt>
                <c:pt idx="5">
                  <c:v>24700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0-4B78-B279-2D8F01414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4800528"/>
        <c:axId val="384808688"/>
        <c:axId val="0"/>
      </c:bar3DChart>
      <c:catAx>
        <c:axId val="38480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8688"/>
        <c:crosses val="autoZero"/>
        <c:auto val="1"/>
        <c:lblAlgn val="ctr"/>
        <c:lblOffset val="100"/>
        <c:noMultiLvlLbl val="0"/>
      </c:catAx>
      <c:valAx>
        <c:axId val="38480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80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922118380062305E-2"/>
          <c:y val="0.1993019762174246"/>
          <c:w val="0.81318811784041012"/>
          <c:h val="0.72910790579577978"/>
        </c:manualLayout>
      </c:layout>
      <c:pie3DChart>
        <c:varyColors val="1"/>
        <c:ser>
          <c:idx val="5"/>
          <c:order val="5"/>
          <c:tx>
            <c:strRef>
              <c:f>'Monthly Expenses'!$G$1</c:f>
              <c:strCache>
                <c:ptCount val="1"/>
                <c:pt idx="0">
                  <c:v>Total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D73-4727-855E-513481D735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D73-4727-855E-513481D735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D73-4727-855E-513481D735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D73-4727-855E-513481D735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D73-4727-855E-513481D735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D73-4727-855E-513481D735A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Expenses'!$A$2:$A$7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'Monthly Expenses'!$G$2:$G$7</c:f>
              <c:numCache>
                <c:formatCode>General</c:formatCode>
                <c:ptCount val="6"/>
                <c:pt idx="0">
                  <c:v>265000000</c:v>
                </c:pt>
                <c:pt idx="1">
                  <c:v>276000000</c:v>
                </c:pt>
                <c:pt idx="2">
                  <c:v>288000000</c:v>
                </c:pt>
                <c:pt idx="3">
                  <c:v>276000000</c:v>
                </c:pt>
                <c:pt idx="4">
                  <c:v>293500000</c:v>
                </c:pt>
                <c:pt idx="5">
                  <c:v>300000000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73-4727-855E-513481D735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Expenses'!$B$1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E-7D73-4727-855E-513481D735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0-7D73-4727-855E-513481D735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2-7D73-4727-855E-513481D735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4-7D73-4727-855E-513481D735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6-7D73-4727-855E-513481D735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8-7D73-4727-855E-513481D735A9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'Monthly Expenses'!$A$2:$A$7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Expenses'!$B$2:$B$7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120000000</c:v>
                      </c:pt>
                      <c:pt idx="1">
                        <c:v>125000000</c:v>
                      </c:pt>
                      <c:pt idx="2">
                        <c:v>130000000</c:v>
                      </c:pt>
                      <c:pt idx="3">
                        <c:v>128000000</c:v>
                      </c:pt>
                      <c:pt idx="4">
                        <c:v>132000000</c:v>
                      </c:pt>
                      <c:pt idx="5">
                        <c:v>135000000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7D73-4727-855E-513481D735A9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Expenses'!$C$1</c15:sqref>
                        </c15:formulaRef>
                      </c:ext>
                    </c:extLst>
                    <c:strCache>
                      <c:ptCount val="1"/>
                      <c:pt idx="0">
                        <c:v>Plant Maintenance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7D73-4727-855E-513481D735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7D73-4727-855E-513481D735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7D73-4727-855E-513481D735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7D73-4727-855E-513481D735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7D73-4727-855E-513481D735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7D73-4727-855E-513481D735A9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Expenses'!$A$2:$A$7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Expenses'!$C$2:$C$7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50000000</c:v>
                      </c:pt>
                      <c:pt idx="1">
                        <c:v>52000000</c:v>
                      </c:pt>
                      <c:pt idx="2">
                        <c:v>54000000</c:v>
                      </c:pt>
                      <c:pt idx="3">
                        <c:v>51000000</c:v>
                      </c:pt>
                      <c:pt idx="4">
                        <c:v>55000000</c:v>
                      </c:pt>
                      <c:pt idx="5">
                        <c:v>56000000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7D73-4727-855E-513481D735A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Expenses'!$D$1</c15:sqref>
                        </c15:formulaRef>
                      </c:ext>
                    </c:extLst>
                    <c:strCache>
                      <c:ptCount val="1"/>
                      <c:pt idx="0">
                        <c:v>Marketing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8-7D73-4727-855E-513481D735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A-7D73-4727-855E-513481D735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C-7D73-4727-855E-513481D735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7D73-4727-855E-513481D735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7D73-4727-855E-513481D735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7D73-4727-855E-513481D735A9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Expenses'!$A$2:$A$7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Expenses'!$D$2:$D$7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30000000</c:v>
                      </c:pt>
                      <c:pt idx="1">
                        <c:v>32000000</c:v>
                      </c:pt>
                      <c:pt idx="2">
                        <c:v>35000000</c:v>
                      </c:pt>
                      <c:pt idx="3">
                        <c:v>31000000</c:v>
                      </c:pt>
                      <c:pt idx="4">
                        <c:v>36000000</c:v>
                      </c:pt>
                      <c:pt idx="5">
                        <c:v>37000000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7D73-4727-855E-513481D735A9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Expenses'!$E$1</c15:sqref>
                        </c15:formulaRef>
                      </c:ext>
                    </c:extLst>
                    <c:strCache>
                      <c:ptCount val="1"/>
                      <c:pt idx="0">
                        <c:v>Logistics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7D73-4727-855E-513481D735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7D73-4727-855E-513481D735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7D73-4727-855E-513481D735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7D73-4727-855E-513481D735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7D73-4727-855E-513481D735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7D73-4727-855E-513481D735A9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Expenses'!$A$2:$A$7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Expenses'!$E$2:$E$7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25000000</c:v>
                      </c:pt>
                      <c:pt idx="1">
                        <c:v>26000000</c:v>
                      </c:pt>
                      <c:pt idx="2">
                        <c:v>27000000</c:v>
                      </c:pt>
                      <c:pt idx="3">
                        <c:v>25500000</c:v>
                      </c:pt>
                      <c:pt idx="4">
                        <c:v>28000000</c:v>
                      </c:pt>
                      <c:pt idx="5">
                        <c:v>29000000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7D73-4727-855E-513481D735A9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Expenses'!$F$1</c15:sqref>
                        </c15:formulaRef>
                      </c:ext>
                    </c:extLst>
                    <c:strCache>
                      <c:ptCount val="1"/>
                      <c:pt idx="0">
                        <c:v>R&amp;D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2-7D73-4727-855E-513481D735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4-7D73-4727-855E-513481D735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7D73-4727-855E-513481D735A9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8-7D73-4727-855E-513481D735A9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A-7D73-4727-855E-513481D735A9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7D73-4727-855E-513481D735A9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Expenses'!$A$2:$A$7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'Monthly Expenses'!$F$2:$F$7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40000000</c:v>
                      </c:pt>
                      <c:pt idx="1">
                        <c:v>41000000</c:v>
                      </c:pt>
                      <c:pt idx="2">
                        <c:v>42000000</c:v>
                      </c:pt>
                      <c:pt idx="3">
                        <c:v>40500000</c:v>
                      </c:pt>
                      <c:pt idx="4">
                        <c:v>42500000</c:v>
                      </c:pt>
                      <c:pt idx="5">
                        <c:v>43000000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7D73-4727-855E-513481D735A9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 dashbord!PivotTable5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each model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'Analysis dashbord'!$G$19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'Analysis dashbord'!$F$20:$F$27</c:f>
              <c:strCache>
                <c:ptCount val="7"/>
                <c:pt idx="0">
                  <c:v>Altroz</c:v>
                </c:pt>
                <c:pt idx="1">
                  <c:v>Harrier</c:v>
                </c:pt>
                <c:pt idx="2">
                  <c:v>Nexon</c:v>
                </c:pt>
                <c:pt idx="3">
                  <c:v>Punch</c:v>
                </c:pt>
                <c:pt idx="4">
                  <c:v>Safari</c:v>
                </c:pt>
                <c:pt idx="5">
                  <c:v>Tiago</c:v>
                </c:pt>
                <c:pt idx="6">
                  <c:v>(blank)</c:v>
                </c:pt>
              </c:strCache>
            </c:strRef>
          </c:cat>
          <c:val>
            <c:numRef>
              <c:f>'Analysis dashbord'!$G$20:$G$27</c:f>
              <c:numCache>
                <c:formatCode>General</c:formatCode>
                <c:ptCount val="7"/>
                <c:pt idx="0">
                  <c:v>21445.454545454544</c:v>
                </c:pt>
                <c:pt idx="1">
                  <c:v>11745</c:v>
                </c:pt>
                <c:pt idx="2">
                  <c:v>35961.538461538461</c:v>
                </c:pt>
                <c:pt idx="3">
                  <c:v>41860</c:v>
                </c:pt>
                <c:pt idx="4">
                  <c:v>9553.636363636364</c:v>
                </c:pt>
                <c:pt idx="5">
                  <c:v>33962.5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F-47CF-A2D7-E1F79D2C5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3176</xdr:rowOff>
    </xdr:from>
    <xdr:to>
      <xdr:col>3</xdr:col>
      <xdr:colOff>799857</xdr:colOff>
      <xdr:row>14</xdr:row>
      <xdr:rowOff>116011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E5AA7-FB90-A5ED-0710-37F1D2640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829653</xdr:colOff>
      <xdr:row>0</xdr:row>
      <xdr:rowOff>0</xdr:rowOff>
    </xdr:from>
    <xdr:to>
      <xdr:col>8</xdr:col>
      <xdr:colOff>12212</xdr:colOff>
      <xdr:row>14</xdr:row>
      <xdr:rowOff>116009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DFEC5-66A9-8D85-325D-CF2A3B41E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38589</xdr:colOff>
      <xdr:row>14</xdr:row>
      <xdr:rowOff>160215</xdr:rowOff>
    </xdr:from>
    <xdr:to>
      <xdr:col>3</xdr:col>
      <xdr:colOff>793751</xdr:colOff>
      <xdr:row>28</xdr:row>
      <xdr:rowOff>79375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5C9B56-B4E1-4F7B-BC22-A2D007A74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852365</xdr:colOff>
      <xdr:row>14</xdr:row>
      <xdr:rowOff>160948</xdr:rowOff>
    </xdr:from>
    <xdr:to>
      <xdr:col>8</xdr:col>
      <xdr:colOff>238125</xdr:colOff>
      <xdr:row>28</xdr:row>
      <xdr:rowOff>103798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CF0763-263B-7C2D-DA94-F94271C0F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kti dalvi" refreshedDate="45986.910990046294" createdVersion="8" refreshedVersion="8" minRefreshableVersion="3" recordCount="41" xr:uid="{B2CB5E26-98FD-4432-A0C5-B3667E867930}">
  <cacheSource type="worksheet">
    <worksheetSource name="Table1"/>
  </cacheSource>
  <cacheFields count="8">
    <cacheField name="Month" numFmtId="0">
      <sharedItems containsBlank="1" count="7">
        <s v="Jan"/>
        <m/>
        <s v="Feb"/>
        <s v="Mar"/>
        <s v="Apr"/>
        <s v="May"/>
        <s v="Jun"/>
      </sharedItems>
    </cacheField>
    <cacheField name="Model" numFmtId="0">
      <sharedItems containsBlank="1" count="7">
        <s v="Nexon"/>
        <s v="Punch"/>
        <s v="Tiago"/>
        <s v="Harrier"/>
        <s v="Safari"/>
        <s v="Altroz"/>
        <m/>
      </sharedItems>
    </cacheField>
    <cacheField name="Units Sold" numFmtId="0">
      <sharedItems containsString="0" containsBlank="1" containsNumber="1" containsInteger="1" minValue="1000" maxValue="5900" count="31">
        <n v="4200"/>
        <n v="5000"/>
        <n v="3800"/>
        <n v="1200"/>
        <n v="1000"/>
        <n v="2600"/>
        <m/>
        <n v="4500"/>
        <n v="5200"/>
        <n v="4000"/>
        <n v="1300"/>
        <n v="1100"/>
        <n v="2700"/>
        <n v="4700"/>
        <n v="5400"/>
        <n v="1400"/>
        <n v="1150"/>
        <n v="2800"/>
        <n v="4300"/>
        <n v="5100"/>
        <n v="3900"/>
        <n v="1250"/>
        <n v="1080"/>
        <n v="2650"/>
        <n v="4800"/>
        <n v="5600"/>
        <n v="1450"/>
        <n v="3000"/>
        <n v="5900"/>
        <n v="1500"/>
        <n v="3100"/>
      </sharedItems>
    </cacheField>
    <cacheField name="Cost/Unit" numFmtId="0">
      <sharedItems containsString="0" containsBlank="1" containsNumber="1" containsInteger="1" minValue="400000" maxValue="1100000"/>
    </cacheField>
    <cacheField name="Selling Price/Unit" numFmtId="0">
      <sharedItems containsString="0" containsBlank="1" containsNumber="1" containsInteger="1" minValue="550000" maxValue="1550000"/>
    </cacheField>
    <cacheField name="Revenue" numFmtId="1">
      <sharedItems containsString="0" containsBlank="1" containsNumber="1" minValue="1409.090909090909" maxValue="7670"/>
    </cacheField>
    <cacheField name="Profit/Unit" numFmtId="0">
      <sharedItems containsString="0" containsBlank="1" containsNumber="1" containsInteger="1" minValue="150000" maxValue="450000"/>
    </cacheField>
    <cacheField name="Total Profit" numFmtId="0">
      <sharedItems containsString="0" containsBlank="1" containsNumber="1" containsInteger="1" minValue="390000000" maxValue="1000000000"/>
    </cacheField>
  </cacheFields>
  <extLst>
    <ext xmlns:x14="http://schemas.microsoft.com/office/spreadsheetml/2009/9/main" uri="{725AE2AE-9491-48be-B2B4-4EB974FC3084}">
      <x14:pivotCacheDefinition pivotCacheId="15357294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n v="650000"/>
    <n v="850000"/>
    <n v="5492.3076923076924"/>
    <n v="200000"/>
    <n v="840000000"/>
  </r>
  <r>
    <x v="0"/>
    <x v="1"/>
    <x v="1"/>
    <n v="500000"/>
    <n v="650000"/>
    <n v="6500"/>
    <n v="150000"/>
    <n v="750000000"/>
  </r>
  <r>
    <x v="0"/>
    <x v="2"/>
    <x v="2"/>
    <n v="400000"/>
    <n v="550000"/>
    <n v="5225"/>
    <n v="150000"/>
    <n v="570000000"/>
  </r>
  <r>
    <x v="0"/>
    <x v="3"/>
    <x v="3"/>
    <n v="1000000"/>
    <n v="1450000"/>
    <n v="1740"/>
    <n v="450000"/>
    <n v="540000000"/>
  </r>
  <r>
    <x v="0"/>
    <x v="4"/>
    <x v="4"/>
    <n v="1100000"/>
    <n v="1550000"/>
    <n v="1409.090909090909"/>
    <n v="450000"/>
    <n v="450000000"/>
  </r>
  <r>
    <x v="0"/>
    <x v="5"/>
    <x v="5"/>
    <n v="550000"/>
    <n v="700000"/>
    <n v="3309.090909090909"/>
    <n v="150000"/>
    <n v="390000000"/>
  </r>
  <r>
    <x v="1"/>
    <x v="6"/>
    <x v="6"/>
    <m/>
    <m/>
    <m/>
    <m/>
    <m/>
  </r>
  <r>
    <x v="2"/>
    <x v="0"/>
    <x v="7"/>
    <n v="650000"/>
    <n v="850000"/>
    <n v="5884.6153846153848"/>
    <n v="200000"/>
    <n v="900000000"/>
  </r>
  <r>
    <x v="2"/>
    <x v="1"/>
    <x v="8"/>
    <n v="500000"/>
    <n v="650000"/>
    <n v="6760"/>
    <n v="150000"/>
    <n v="780000000"/>
  </r>
  <r>
    <x v="2"/>
    <x v="2"/>
    <x v="9"/>
    <n v="400000"/>
    <n v="550000"/>
    <n v="5500"/>
    <n v="150000"/>
    <n v="600000000"/>
  </r>
  <r>
    <x v="2"/>
    <x v="3"/>
    <x v="10"/>
    <n v="1000000"/>
    <n v="1450000"/>
    <n v="1885"/>
    <n v="450000"/>
    <n v="585000000"/>
  </r>
  <r>
    <x v="2"/>
    <x v="4"/>
    <x v="11"/>
    <n v="1100000"/>
    <n v="1550000"/>
    <n v="1550"/>
    <n v="450000"/>
    <n v="495000000"/>
  </r>
  <r>
    <x v="2"/>
    <x v="5"/>
    <x v="12"/>
    <n v="550000"/>
    <n v="700000"/>
    <n v="3436.3636363636365"/>
    <n v="150000"/>
    <n v="405000000"/>
  </r>
  <r>
    <x v="1"/>
    <x v="6"/>
    <x v="6"/>
    <m/>
    <m/>
    <m/>
    <m/>
    <m/>
  </r>
  <r>
    <x v="3"/>
    <x v="0"/>
    <x v="13"/>
    <n v="650000"/>
    <n v="850000"/>
    <n v="6146.1538461538457"/>
    <n v="200000"/>
    <n v="940000000"/>
  </r>
  <r>
    <x v="3"/>
    <x v="1"/>
    <x v="14"/>
    <n v="500000"/>
    <n v="650000"/>
    <n v="7020"/>
    <n v="150000"/>
    <n v="810000000"/>
  </r>
  <r>
    <x v="3"/>
    <x v="2"/>
    <x v="0"/>
    <n v="400000"/>
    <n v="550000"/>
    <n v="5775"/>
    <n v="150000"/>
    <n v="630000000"/>
  </r>
  <r>
    <x v="3"/>
    <x v="3"/>
    <x v="15"/>
    <n v="1000000"/>
    <n v="1450000"/>
    <n v="2030"/>
    <n v="450000"/>
    <n v="630000000"/>
  </r>
  <r>
    <x v="3"/>
    <x v="4"/>
    <x v="16"/>
    <n v="1100000"/>
    <n v="1550000"/>
    <n v="1620.4545454545455"/>
    <n v="450000"/>
    <n v="517500000"/>
  </r>
  <r>
    <x v="3"/>
    <x v="5"/>
    <x v="17"/>
    <n v="550000"/>
    <n v="700000"/>
    <n v="3563.6363636363635"/>
    <n v="150000"/>
    <n v="420000000"/>
  </r>
  <r>
    <x v="1"/>
    <x v="6"/>
    <x v="6"/>
    <m/>
    <m/>
    <m/>
    <m/>
    <m/>
  </r>
  <r>
    <x v="4"/>
    <x v="0"/>
    <x v="18"/>
    <n v="650000"/>
    <n v="850000"/>
    <n v="5623.0769230769229"/>
    <n v="200000"/>
    <n v="860000000"/>
  </r>
  <r>
    <x v="4"/>
    <x v="1"/>
    <x v="19"/>
    <n v="500000"/>
    <n v="650000"/>
    <n v="6630"/>
    <n v="150000"/>
    <n v="765000000"/>
  </r>
  <r>
    <x v="4"/>
    <x v="2"/>
    <x v="20"/>
    <n v="400000"/>
    <n v="550000"/>
    <n v="5362.5"/>
    <n v="150000"/>
    <n v="585000000"/>
  </r>
  <r>
    <x v="4"/>
    <x v="3"/>
    <x v="21"/>
    <n v="1000000"/>
    <n v="1450000"/>
    <n v="1812.5"/>
    <n v="450000"/>
    <n v="562500000"/>
  </r>
  <r>
    <x v="4"/>
    <x v="4"/>
    <x v="22"/>
    <n v="1100000"/>
    <n v="1550000"/>
    <n v="1521.8181818181818"/>
    <n v="450000"/>
    <n v="486000000"/>
  </r>
  <r>
    <x v="4"/>
    <x v="5"/>
    <x v="23"/>
    <n v="550000"/>
    <n v="700000"/>
    <n v="3372.7272727272725"/>
    <n v="150000"/>
    <n v="397500000"/>
  </r>
  <r>
    <x v="1"/>
    <x v="6"/>
    <x v="6"/>
    <m/>
    <m/>
    <m/>
    <m/>
    <m/>
  </r>
  <r>
    <x v="5"/>
    <x v="0"/>
    <x v="24"/>
    <n v="650000"/>
    <n v="850000"/>
    <n v="6276.9230769230771"/>
    <n v="200000"/>
    <n v="960000000"/>
  </r>
  <r>
    <x v="5"/>
    <x v="1"/>
    <x v="25"/>
    <n v="500000"/>
    <n v="650000"/>
    <n v="7280"/>
    <n v="150000"/>
    <n v="840000000"/>
  </r>
  <r>
    <x v="5"/>
    <x v="2"/>
    <x v="18"/>
    <n v="400000"/>
    <n v="550000"/>
    <n v="5912.5"/>
    <n v="150000"/>
    <n v="645000000"/>
  </r>
  <r>
    <x v="5"/>
    <x v="3"/>
    <x v="26"/>
    <n v="1000000"/>
    <n v="1450000"/>
    <n v="2102.5"/>
    <n v="450000"/>
    <n v="652500000"/>
  </r>
  <r>
    <x v="5"/>
    <x v="4"/>
    <x v="3"/>
    <n v="1100000"/>
    <n v="1550000"/>
    <n v="1690.909090909091"/>
    <n v="450000"/>
    <n v="540000000"/>
  </r>
  <r>
    <x v="5"/>
    <x v="5"/>
    <x v="27"/>
    <n v="550000"/>
    <n v="700000"/>
    <n v="3818.181818181818"/>
    <n v="150000"/>
    <n v="450000000"/>
  </r>
  <r>
    <x v="1"/>
    <x v="6"/>
    <x v="6"/>
    <m/>
    <m/>
    <m/>
    <m/>
    <m/>
  </r>
  <r>
    <x v="6"/>
    <x v="0"/>
    <x v="1"/>
    <n v="650000"/>
    <n v="850000"/>
    <n v="6538.4615384615381"/>
    <n v="200000"/>
    <n v="1000000000"/>
  </r>
  <r>
    <x v="6"/>
    <x v="1"/>
    <x v="28"/>
    <n v="500000"/>
    <n v="650000"/>
    <n v="7670"/>
    <n v="150000"/>
    <n v="885000000"/>
  </r>
  <r>
    <x v="6"/>
    <x v="2"/>
    <x v="7"/>
    <n v="400000"/>
    <n v="550000"/>
    <n v="6187.5"/>
    <n v="150000"/>
    <n v="675000000"/>
  </r>
  <r>
    <x v="6"/>
    <x v="3"/>
    <x v="29"/>
    <n v="1000000"/>
    <n v="1450000"/>
    <n v="2175"/>
    <n v="450000"/>
    <n v="675000000"/>
  </r>
  <r>
    <x v="6"/>
    <x v="4"/>
    <x v="21"/>
    <n v="1100000"/>
    <n v="1550000"/>
    <n v="1761.3636363636363"/>
    <n v="450000"/>
    <n v="562500000"/>
  </r>
  <r>
    <x v="6"/>
    <x v="5"/>
    <x v="30"/>
    <n v="550000"/>
    <n v="700000"/>
    <n v="3945.4545454545455"/>
    <n v="150000"/>
    <n v="46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AEF6E-7A7D-4729-9A19-A2323ED6B5F1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19:G27" firstHeaderRow="1" firstDataRow="1" firstDataCol="1"/>
  <pivotFields count="8">
    <pivotField showAll="0"/>
    <pivotField axis="axisRow" showAll="0">
      <items count="8">
        <item x="5"/>
        <item x="3"/>
        <item x="0"/>
        <item x="1"/>
        <item x="4"/>
        <item x="2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A6DB7-A7E6-48A2-983E-517662F27A6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:G9" firstHeaderRow="1" firstDataRow="1" firstDataCol="1"/>
  <pivotFields count="8">
    <pivotField showAll="0"/>
    <pivotField axis="axisRow" showAll="0">
      <items count="8">
        <item x="5"/>
        <item x="3"/>
        <item x="0"/>
        <item x="1"/>
        <item x="4"/>
        <item x="2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E4BF3-DEDF-4B62-A133-0347C97B0F0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8">
    <pivotField axis="axisRow" showAll="0">
      <items count="8">
        <item x="0"/>
        <item x="2"/>
        <item x="3"/>
        <item x="4"/>
        <item x="5"/>
        <item x="6"/>
        <item x="1"/>
        <item t="default"/>
      </items>
    </pivotField>
    <pivotField showAll="0"/>
    <pivotField dataField="1" showAll="0">
      <items count="32">
        <item x="4"/>
        <item x="22"/>
        <item x="11"/>
        <item x="16"/>
        <item x="3"/>
        <item x="21"/>
        <item x="10"/>
        <item x="15"/>
        <item x="26"/>
        <item x="29"/>
        <item x="5"/>
        <item x="23"/>
        <item x="12"/>
        <item x="17"/>
        <item x="27"/>
        <item x="30"/>
        <item x="2"/>
        <item x="20"/>
        <item x="9"/>
        <item x="0"/>
        <item x="18"/>
        <item x="7"/>
        <item x="13"/>
        <item x="24"/>
        <item x="1"/>
        <item x="19"/>
        <item x="8"/>
        <item x="14"/>
        <item x="25"/>
        <item x="28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A031B-370F-44AF-BBF6-B935F1E53CE6}" name="Table1" displayName="Table1" ref="A1:H43" totalsRowCount="1" headerRowDxfId="26">
  <autoFilter ref="A1:H42" xr:uid="{C2CA031B-370F-44AF-BBF6-B935F1E53C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AE9127A-6358-407F-83B4-0F43286B69D1}" name="Month" totalsRowLabel="Total"/>
    <tableColumn id="2" xr3:uid="{30A975EB-1187-4AD7-B7B1-E53756F5CD78}" name="Model"/>
    <tableColumn id="3" xr3:uid="{9599F54C-3071-49B3-ADB4-6E0C78CF6BDA}" name="Units Sold"/>
    <tableColumn id="4" xr3:uid="{BF56E72B-4406-4532-AEC2-A6D3CC98C8BB}" name="Cost/Unit"/>
    <tableColumn id="5" xr3:uid="{131C2D26-C8C3-4A01-BFCC-83942A9857A7}" name="Selling Price/Unit"/>
    <tableColumn id="6" xr3:uid="{535F4CB9-8A74-424F-8C55-2630D103F690}" name="Revenue" dataDxfId="25">
      <calculatedColumnFormula>C2*E2/D2</calculatedColumnFormula>
    </tableColumn>
    <tableColumn id="7" xr3:uid="{8A3CD999-AB36-4AF7-BDAA-FD22952B9EAC}" name="Profit/Unit"/>
    <tableColumn id="8" xr3:uid="{D642C6D5-01DE-4D8A-9C79-767179D6EE9D}" name="Total Profit" totalsRowFunction="sum">
      <calculatedColumnFormula>C2*G2</calculatedColumnFormula>
    </tableColumn>
  </tableColumns>
  <tableStyleInfo name="TableStyleMedium1" showFirstColumn="0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F3B36-8046-4C81-B1A1-06F13D49AFC0}" name="Table2" displayName="Table2" ref="A1:G8" totalsRowCount="1" headerRowDxfId="24" dataDxfId="23">
  <autoFilter ref="A1:G7" xr:uid="{8F0F3B36-8046-4C81-B1A1-06F13D49AF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14453A9-472F-408A-AC5F-3DA4A84D89F2}" name="Month" totalsRowLabel="Total" dataDxfId="22" totalsRowDxfId="21"/>
    <tableColumn id="2" xr3:uid="{C288CC68-7C56-4139-88F9-6325CEF83142}" name="Salary" dataDxfId="20" totalsRowDxfId="19"/>
    <tableColumn id="3" xr3:uid="{B3DBFD4D-E484-4206-B734-5CE70DFDD478}" name="Plant Maintenance" dataDxfId="18" totalsRowDxfId="17"/>
    <tableColumn id="4" xr3:uid="{BCAD3A9B-D7B1-4437-9E62-409C18F28CD7}" name="Marketing" dataDxfId="16" totalsRowDxfId="15"/>
    <tableColumn id="5" xr3:uid="{D0EEB23C-8173-44E8-8498-2BF0791352DA}" name="Logistics" dataDxfId="14" totalsRowDxfId="13"/>
    <tableColumn id="6" xr3:uid="{A01DE8B5-A656-4E27-87F1-1A9375333609}" name="R&amp;D" dataDxfId="12" totalsRowDxfId="11"/>
    <tableColumn id="7" xr3:uid="{D118DC59-BB6C-4DDD-88B9-05FCFA65F2BB}" name="Total Expenses" totalsRowFunction="sum" dataDxfId="10" totalsRowDxfId="9">
      <calculatedColumnFormula>SUM(B2:F2)</calculatedColumnFormula>
    </tableColumn>
  </tableColumns>
  <tableStyleInfo name="TableStyleMedium1" showFirstColumn="1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D93278-D8BC-4E8A-B0C4-273668E9E18B}" name="Table3" displayName="Table3" ref="A1:F7" headerRowDxfId="8" dataDxfId="7" totalsRowDxfId="6">
  <autoFilter ref="A1:F7" xr:uid="{97D93278-D8BC-4E8A-B0C4-273668E9E1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988F54B-D8E4-4B59-97B4-E0CA5C58216B}" name="Customer Name" totalsRowLabel="Total" dataDxfId="5"/>
    <tableColumn id="2" xr3:uid="{B01E96AA-3D6E-4A01-8BC2-FF1A18EDFEB0}" name="City" dataDxfId="4"/>
    <tableColumn id="3" xr3:uid="{3BBF51EE-3CB2-48F7-98E5-D7846115FA8A}" name="Gender" dataDxfId="3"/>
    <tableColumn id="4" xr3:uid="{5730D5AE-5C75-4881-99EB-950A9DC4C3CA}" name="Preferred Model" dataDxfId="2"/>
    <tableColumn id="5" xr3:uid="{50A8E280-3239-4429-8BE8-0A5684B18A98}" name="Budget" dataDxfId="1"/>
    <tableColumn id="6" xr3:uid="{FC90691D-81A1-4289-B687-D8B141B700CE}" name="Payment Mode" totalsRowFunction="count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8EF4-43D7-4367-8753-302F8696C572}">
  <dimension ref="A1:G27"/>
  <sheetViews>
    <sheetView tabSelected="1" zoomScale="104" zoomScaleNormal="104" workbookViewId="0">
      <selection activeCell="K26" sqref="K26"/>
    </sheetView>
  </sheetViews>
  <sheetFormatPr defaultRowHeight="14.5" x14ac:dyDescent="0.35"/>
  <cols>
    <col min="1" max="1" width="12.36328125" bestFit="1" customWidth="1"/>
    <col min="2" max="2" width="12.08984375" bestFit="1" customWidth="1"/>
    <col min="3" max="3" width="23.1796875" bestFit="1" customWidth="1"/>
    <col min="4" max="4" width="15.81640625" bestFit="1" customWidth="1"/>
    <col min="5" max="5" width="14.08984375" bestFit="1" customWidth="1"/>
    <col min="6" max="6" width="12.36328125" bestFit="1" customWidth="1"/>
    <col min="7" max="7" width="14.453125" bestFit="1" customWidth="1"/>
    <col min="8" max="8" width="6.7265625" bestFit="1" customWidth="1"/>
    <col min="9" max="9" width="6.1796875" bestFit="1" customWidth="1"/>
    <col min="10" max="10" width="6" bestFit="1" customWidth="1"/>
    <col min="11" max="11" width="5.54296875" bestFit="1" customWidth="1"/>
    <col min="12" max="12" width="5.26953125" bestFit="1" customWidth="1"/>
    <col min="13" max="13" width="10.7265625" bestFit="1" customWidth="1"/>
    <col min="14" max="31" width="15.26953125" bestFit="1" customWidth="1"/>
    <col min="32" max="32" width="10.7265625" bestFit="1" customWidth="1"/>
  </cols>
  <sheetData>
    <row r="1" spans="1:7" x14ac:dyDescent="0.35">
      <c r="F1" s="4" t="s">
        <v>50</v>
      </c>
      <c r="G1" t="s">
        <v>53</v>
      </c>
    </row>
    <row r="2" spans="1:7" x14ac:dyDescent="0.35">
      <c r="F2" s="5" t="s">
        <v>14</v>
      </c>
      <c r="G2">
        <v>16850</v>
      </c>
    </row>
    <row r="3" spans="1:7" x14ac:dyDescent="0.35">
      <c r="A3" s="4" t="s">
        <v>50</v>
      </c>
      <c r="B3" t="s">
        <v>53</v>
      </c>
      <c r="F3" s="5" t="s">
        <v>12</v>
      </c>
      <c r="G3">
        <v>8100</v>
      </c>
    </row>
    <row r="4" spans="1:7" x14ac:dyDescent="0.35">
      <c r="A4" s="5" t="s">
        <v>8</v>
      </c>
      <c r="B4">
        <v>17800</v>
      </c>
      <c r="F4" s="5" t="s">
        <v>9</v>
      </c>
      <c r="G4">
        <v>27500</v>
      </c>
    </row>
    <row r="5" spans="1:7" x14ac:dyDescent="0.35">
      <c r="A5" s="5" t="s">
        <v>15</v>
      </c>
      <c r="B5">
        <v>18800</v>
      </c>
      <c r="F5" s="5" t="s">
        <v>10</v>
      </c>
      <c r="G5">
        <v>32200</v>
      </c>
    </row>
    <row r="6" spans="1:7" x14ac:dyDescent="0.35">
      <c r="A6" s="5" t="s">
        <v>16</v>
      </c>
      <c r="B6">
        <v>19650</v>
      </c>
      <c r="F6" s="5" t="s">
        <v>13</v>
      </c>
      <c r="G6">
        <v>6780</v>
      </c>
    </row>
    <row r="7" spans="1:7" x14ac:dyDescent="0.35">
      <c r="A7" s="5" t="s">
        <v>17</v>
      </c>
      <c r="B7">
        <v>18280</v>
      </c>
      <c r="F7" s="5" t="s">
        <v>11</v>
      </c>
      <c r="G7">
        <v>24700</v>
      </c>
    </row>
    <row r="8" spans="1:7" x14ac:dyDescent="0.35">
      <c r="A8" s="5" t="s">
        <v>18</v>
      </c>
      <c r="B8">
        <v>20350</v>
      </c>
      <c r="F8" s="5" t="s">
        <v>51</v>
      </c>
    </row>
    <row r="9" spans="1:7" x14ac:dyDescent="0.35">
      <c r="A9" s="5" t="s">
        <v>19</v>
      </c>
      <c r="B9">
        <v>21250</v>
      </c>
      <c r="F9" s="5" t="s">
        <v>52</v>
      </c>
      <c r="G9">
        <v>116130</v>
      </c>
    </row>
    <row r="10" spans="1:7" x14ac:dyDescent="0.35">
      <c r="A10" s="5" t="s">
        <v>51</v>
      </c>
    </row>
    <row r="11" spans="1:7" x14ac:dyDescent="0.35">
      <c r="A11" s="5" t="s">
        <v>52</v>
      </c>
      <c r="B11">
        <v>116130</v>
      </c>
    </row>
    <row r="19" spans="6:7" x14ac:dyDescent="0.35">
      <c r="F19" s="4" t="s">
        <v>50</v>
      </c>
      <c r="G19" t="s">
        <v>54</v>
      </c>
    </row>
    <row r="20" spans="6:7" x14ac:dyDescent="0.35">
      <c r="F20" s="5" t="s">
        <v>14</v>
      </c>
      <c r="G20" s="6">
        <v>21445.454545454544</v>
      </c>
    </row>
    <row r="21" spans="6:7" x14ac:dyDescent="0.35">
      <c r="F21" s="5" t="s">
        <v>12</v>
      </c>
      <c r="G21" s="6">
        <v>11745</v>
      </c>
    </row>
    <row r="22" spans="6:7" x14ac:dyDescent="0.35">
      <c r="F22" s="5" t="s">
        <v>9</v>
      </c>
      <c r="G22" s="6">
        <v>35961.538461538461</v>
      </c>
    </row>
    <row r="23" spans="6:7" x14ac:dyDescent="0.35">
      <c r="F23" s="5" t="s">
        <v>10</v>
      </c>
      <c r="G23" s="6">
        <v>41860</v>
      </c>
    </row>
    <row r="24" spans="6:7" x14ac:dyDescent="0.35">
      <c r="F24" s="5" t="s">
        <v>13</v>
      </c>
      <c r="G24" s="6">
        <v>9553.636363636364</v>
      </c>
    </row>
    <row r="25" spans="6:7" x14ac:dyDescent="0.35">
      <c r="F25" s="5" t="s">
        <v>11</v>
      </c>
      <c r="G25" s="6">
        <v>33962.5</v>
      </c>
    </row>
    <row r="26" spans="6:7" x14ac:dyDescent="0.35">
      <c r="F26" s="5" t="s">
        <v>51</v>
      </c>
      <c r="G26" s="6"/>
    </row>
    <row r="27" spans="6:7" x14ac:dyDescent="0.35">
      <c r="F27" s="5" t="s">
        <v>52</v>
      </c>
      <c r="G27" s="6">
        <v>154528.12937062938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882-19FF-4FE1-BB71-FDB478117F6D}">
  <dimension ref="A1:L43"/>
  <sheetViews>
    <sheetView zoomScale="99" zoomScaleNormal="99" workbookViewId="0">
      <selection activeCell="L6" sqref="L6"/>
    </sheetView>
  </sheetViews>
  <sheetFormatPr defaultRowHeight="14.5" x14ac:dyDescent="0.35"/>
  <cols>
    <col min="1" max="1" width="8.6328125" customWidth="1"/>
    <col min="2" max="2" width="8.26953125" customWidth="1"/>
    <col min="3" max="3" width="11.26953125" customWidth="1"/>
    <col min="4" max="4" width="11" customWidth="1"/>
    <col min="5" max="5" width="17.1796875" customWidth="1"/>
    <col min="6" max="6" width="10.08984375" customWidth="1"/>
    <col min="7" max="7" width="12" customWidth="1"/>
    <col min="8" max="8" width="12.36328125" customWidth="1"/>
    <col min="11" max="11" width="6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5">
      <c r="A2" t="s">
        <v>8</v>
      </c>
      <c r="B2" t="s">
        <v>9</v>
      </c>
      <c r="C2">
        <v>4200</v>
      </c>
      <c r="D2">
        <v>650000</v>
      </c>
      <c r="E2">
        <v>850000</v>
      </c>
      <c r="F2" s="2">
        <f>C2*E2/D2</f>
        <v>5492.3076923076924</v>
      </c>
      <c r="G2">
        <v>200000</v>
      </c>
      <c r="H2">
        <f>C2*G2</f>
        <v>840000000</v>
      </c>
      <c r="J2" s="7"/>
      <c r="K2" s="7"/>
      <c r="L2" s="7"/>
    </row>
    <row r="3" spans="1:12" x14ac:dyDescent="0.35">
      <c r="A3" t="s">
        <v>8</v>
      </c>
      <c r="B3" t="s">
        <v>10</v>
      </c>
      <c r="C3">
        <v>5000</v>
      </c>
      <c r="D3">
        <v>500000</v>
      </c>
      <c r="E3">
        <v>650000</v>
      </c>
      <c r="F3" s="2">
        <f t="shared" ref="F3:F42" si="0">C3*E3/D3</f>
        <v>6500</v>
      </c>
      <c r="G3">
        <v>150000</v>
      </c>
      <c r="H3">
        <f t="shared" ref="H3:H42" si="1">C3*G3</f>
        <v>750000000</v>
      </c>
    </row>
    <row r="4" spans="1:12" x14ac:dyDescent="0.35">
      <c r="A4" t="s">
        <v>8</v>
      </c>
      <c r="B4" t="s">
        <v>11</v>
      </c>
      <c r="C4">
        <v>3800</v>
      </c>
      <c r="D4">
        <v>400000</v>
      </c>
      <c r="E4">
        <v>550000</v>
      </c>
      <c r="F4" s="2">
        <f t="shared" si="0"/>
        <v>5225</v>
      </c>
      <c r="G4">
        <v>150000</v>
      </c>
      <c r="H4">
        <f t="shared" si="1"/>
        <v>570000000</v>
      </c>
    </row>
    <row r="5" spans="1:12" x14ac:dyDescent="0.35">
      <c r="A5" t="s">
        <v>8</v>
      </c>
      <c r="B5" t="s">
        <v>12</v>
      </c>
      <c r="C5">
        <v>1200</v>
      </c>
      <c r="D5">
        <v>1000000</v>
      </c>
      <c r="E5">
        <v>1450000</v>
      </c>
      <c r="F5" s="2">
        <f t="shared" si="0"/>
        <v>1740</v>
      </c>
      <c r="G5">
        <v>450000</v>
      </c>
      <c r="H5">
        <f t="shared" si="1"/>
        <v>540000000</v>
      </c>
    </row>
    <row r="6" spans="1:12" x14ac:dyDescent="0.35">
      <c r="A6" t="s">
        <v>8</v>
      </c>
      <c r="B6" t="s">
        <v>13</v>
      </c>
      <c r="C6">
        <v>1000</v>
      </c>
      <c r="D6">
        <v>1100000</v>
      </c>
      <c r="E6">
        <v>1550000</v>
      </c>
      <c r="F6" s="2">
        <f t="shared" si="0"/>
        <v>1409.090909090909</v>
      </c>
      <c r="G6">
        <v>450000</v>
      </c>
      <c r="H6">
        <f t="shared" si="1"/>
        <v>450000000</v>
      </c>
    </row>
    <row r="7" spans="1:12" x14ac:dyDescent="0.35">
      <c r="A7" t="s">
        <v>8</v>
      </c>
      <c r="B7" t="s">
        <v>14</v>
      </c>
      <c r="C7">
        <v>2600</v>
      </c>
      <c r="D7">
        <v>550000</v>
      </c>
      <c r="E7">
        <v>700000</v>
      </c>
      <c r="F7" s="2">
        <f t="shared" si="0"/>
        <v>3309.090909090909</v>
      </c>
      <c r="G7">
        <v>150000</v>
      </c>
      <c r="H7">
        <f t="shared" si="1"/>
        <v>390000000</v>
      </c>
    </row>
    <row r="8" spans="1:12" x14ac:dyDescent="0.35">
      <c r="F8" s="2"/>
    </row>
    <row r="9" spans="1:12" x14ac:dyDescent="0.35">
      <c r="A9" t="s">
        <v>15</v>
      </c>
      <c r="B9" t="s">
        <v>9</v>
      </c>
      <c r="C9">
        <v>4500</v>
      </c>
      <c r="D9">
        <v>650000</v>
      </c>
      <c r="E9">
        <v>850000</v>
      </c>
      <c r="F9" s="2">
        <f t="shared" si="0"/>
        <v>5884.6153846153848</v>
      </c>
      <c r="G9">
        <v>200000</v>
      </c>
      <c r="H9">
        <f t="shared" si="1"/>
        <v>900000000</v>
      </c>
    </row>
    <row r="10" spans="1:12" x14ac:dyDescent="0.35">
      <c r="A10" t="s">
        <v>15</v>
      </c>
      <c r="B10" t="s">
        <v>10</v>
      </c>
      <c r="C10">
        <v>5200</v>
      </c>
      <c r="D10">
        <v>500000</v>
      </c>
      <c r="E10">
        <v>650000</v>
      </c>
      <c r="F10" s="2">
        <f t="shared" si="0"/>
        <v>6760</v>
      </c>
      <c r="G10">
        <v>150000</v>
      </c>
      <c r="H10">
        <f t="shared" si="1"/>
        <v>780000000</v>
      </c>
    </row>
    <row r="11" spans="1:12" x14ac:dyDescent="0.35">
      <c r="A11" t="s">
        <v>15</v>
      </c>
      <c r="B11" t="s">
        <v>11</v>
      </c>
      <c r="C11">
        <v>4000</v>
      </c>
      <c r="D11">
        <v>400000</v>
      </c>
      <c r="E11">
        <v>550000</v>
      </c>
      <c r="F11" s="2">
        <f t="shared" si="0"/>
        <v>5500</v>
      </c>
      <c r="G11">
        <v>150000</v>
      </c>
      <c r="H11">
        <f t="shared" si="1"/>
        <v>600000000</v>
      </c>
    </row>
    <row r="12" spans="1:12" x14ac:dyDescent="0.35">
      <c r="A12" t="s">
        <v>15</v>
      </c>
      <c r="B12" t="s">
        <v>12</v>
      </c>
      <c r="C12">
        <v>1300</v>
      </c>
      <c r="D12">
        <v>1000000</v>
      </c>
      <c r="E12">
        <v>1450000</v>
      </c>
      <c r="F12" s="2">
        <f t="shared" si="0"/>
        <v>1885</v>
      </c>
      <c r="G12">
        <v>450000</v>
      </c>
      <c r="H12">
        <f t="shared" si="1"/>
        <v>585000000</v>
      </c>
    </row>
    <row r="13" spans="1:12" x14ac:dyDescent="0.35">
      <c r="A13" t="s">
        <v>15</v>
      </c>
      <c r="B13" t="s">
        <v>13</v>
      </c>
      <c r="C13">
        <v>1100</v>
      </c>
      <c r="D13">
        <v>1100000</v>
      </c>
      <c r="E13">
        <v>1550000</v>
      </c>
      <c r="F13" s="2">
        <f t="shared" si="0"/>
        <v>1550</v>
      </c>
      <c r="G13">
        <v>450000</v>
      </c>
      <c r="H13">
        <f t="shared" si="1"/>
        <v>495000000</v>
      </c>
    </row>
    <row r="14" spans="1:12" x14ac:dyDescent="0.35">
      <c r="A14" t="s">
        <v>15</v>
      </c>
      <c r="B14" t="s">
        <v>14</v>
      </c>
      <c r="C14">
        <v>2700</v>
      </c>
      <c r="D14">
        <v>550000</v>
      </c>
      <c r="E14">
        <v>700000</v>
      </c>
      <c r="F14" s="2">
        <f t="shared" si="0"/>
        <v>3436.3636363636365</v>
      </c>
      <c r="G14">
        <v>150000</v>
      </c>
      <c r="H14">
        <f t="shared" si="1"/>
        <v>405000000</v>
      </c>
    </row>
    <row r="15" spans="1:12" x14ac:dyDescent="0.35">
      <c r="F15" s="2"/>
    </row>
    <row r="16" spans="1:12" x14ac:dyDescent="0.35">
      <c r="A16" t="s">
        <v>16</v>
      </c>
      <c r="B16" t="s">
        <v>9</v>
      </c>
      <c r="C16">
        <v>4700</v>
      </c>
      <c r="D16">
        <v>650000</v>
      </c>
      <c r="E16">
        <v>850000</v>
      </c>
      <c r="F16" s="2">
        <f t="shared" si="0"/>
        <v>6146.1538461538457</v>
      </c>
      <c r="G16">
        <v>200000</v>
      </c>
      <c r="H16">
        <f t="shared" si="1"/>
        <v>940000000</v>
      </c>
    </row>
    <row r="17" spans="1:8" x14ac:dyDescent="0.35">
      <c r="A17" t="s">
        <v>16</v>
      </c>
      <c r="B17" t="s">
        <v>10</v>
      </c>
      <c r="C17">
        <v>5400</v>
      </c>
      <c r="D17">
        <v>500000</v>
      </c>
      <c r="E17">
        <v>650000</v>
      </c>
      <c r="F17" s="2">
        <f t="shared" si="0"/>
        <v>7020</v>
      </c>
      <c r="G17">
        <v>150000</v>
      </c>
      <c r="H17">
        <f t="shared" si="1"/>
        <v>810000000</v>
      </c>
    </row>
    <row r="18" spans="1:8" x14ac:dyDescent="0.35">
      <c r="A18" t="s">
        <v>16</v>
      </c>
      <c r="B18" t="s">
        <v>11</v>
      </c>
      <c r="C18">
        <v>4200</v>
      </c>
      <c r="D18">
        <v>400000</v>
      </c>
      <c r="E18">
        <v>550000</v>
      </c>
      <c r="F18" s="2">
        <f t="shared" si="0"/>
        <v>5775</v>
      </c>
      <c r="G18">
        <v>150000</v>
      </c>
      <c r="H18">
        <f t="shared" si="1"/>
        <v>630000000</v>
      </c>
    </row>
    <row r="19" spans="1:8" x14ac:dyDescent="0.35">
      <c r="A19" t="s">
        <v>16</v>
      </c>
      <c r="B19" t="s">
        <v>12</v>
      </c>
      <c r="C19">
        <v>1400</v>
      </c>
      <c r="D19">
        <v>1000000</v>
      </c>
      <c r="E19">
        <v>1450000</v>
      </c>
      <c r="F19" s="2">
        <f t="shared" si="0"/>
        <v>2030</v>
      </c>
      <c r="G19">
        <v>450000</v>
      </c>
      <c r="H19">
        <f t="shared" si="1"/>
        <v>630000000</v>
      </c>
    </row>
    <row r="20" spans="1:8" x14ac:dyDescent="0.35">
      <c r="A20" t="s">
        <v>16</v>
      </c>
      <c r="B20" t="s">
        <v>13</v>
      </c>
      <c r="C20">
        <v>1150</v>
      </c>
      <c r="D20">
        <v>1100000</v>
      </c>
      <c r="E20">
        <v>1550000</v>
      </c>
      <c r="F20" s="2">
        <f t="shared" si="0"/>
        <v>1620.4545454545455</v>
      </c>
      <c r="G20">
        <v>450000</v>
      </c>
      <c r="H20">
        <f t="shared" si="1"/>
        <v>517500000</v>
      </c>
    </row>
    <row r="21" spans="1:8" x14ac:dyDescent="0.35">
      <c r="A21" t="s">
        <v>16</v>
      </c>
      <c r="B21" t="s">
        <v>14</v>
      </c>
      <c r="C21">
        <v>2800</v>
      </c>
      <c r="D21">
        <v>550000</v>
      </c>
      <c r="E21">
        <v>700000</v>
      </c>
      <c r="F21" s="2">
        <f t="shared" si="0"/>
        <v>3563.6363636363635</v>
      </c>
      <c r="G21">
        <v>150000</v>
      </c>
      <c r="H21">
        <f t="shared" si="1"/>
        <v>420000000</v>
      </c>
    </row>
    <row r="22" spans="1:8" x14ac:dyDescent="0.35">
      <c r="F22" s="2"/>
    </row>
    <row r="23" spans="1:8" x14ac:dyDescent="0.35">
      <c r="A23" t="s">
        <v>17</v>
      </c>
      <c r="B23" t="s">
        <v>9</v>
      </c>
      <c r="C23">
        <v>4300</v>
      </c>
      <c r="D23">
        <v>650000</v>
      </c>
      <c r="E23">
        <v>850000</v>
      </c>
      <c r="F23" s="2">
        <f t="shared" si="0"/>
        <v>5623.0769230769229</v>
      </c>
      <c r="G23">
        <v>200000</v>
      </c>
      <c r="H23">
        <f t="shared" si="1"/>
        <v>860000000</v>
      </c>
    </row>
    <row r="24" spans="1:8" x14ac:dyDescent="0.35">
      <c r="A24" t="s">
        <v>17</v>
      </c>
      <c r="B24" t="s">
        <v>10</v>
      </c>
      <c r="C24">
        <v>5100</v>
      </c>
      <c r="D24">
        <v>500000</v>
      </c>
      <c r="E24">
        <v>650000</v>
      </c>
      <c r="F24" s="2">
        <f t="shared" si="0"/>
        <v>6630</v>
      </c>
      <c r="G24">
        <v>150000</v>
      </c>
      <c r="H24">
        <f t="shared" si="1"/>
        <v>765000000</v>
      </c>
    </row>
    <row r="25" spans="1:8" x14ac:dyDescent="0.35">
      <c r="A25" t="s">
        <v>17</v>
      </c>
      <c r="B25" t="s">
        <v>11</v>
      </c>
      <c r="C25">
        <v>3900</v>
      </c>
      <c r="D25">
        <v>400000</v>
      </c>
      <c r="E25">
        <v>550000</v>
      </c>
      <c r="F25" s="2">
        <f t="shared" si="0"/>
        <v>5362.5</v>
      </c>
      <c r="G25">
        <v>150000</v>
      </c>
      <c r="H25">
        <f t="shared" si="1"/>
        <v>585000000</v>
      </c>
    </row>
    <row r="26" spans="1:8" x14ac:dyDescent="0.35">
      <c r="A26" t="s">
        <v>17</v>
      </c>
      <c r="B26" t="s">
        <v>12</v>
      </c>
      <c r="C26">
        <v>1250</v>
      </c>
      <c r="D26">
        <v>1000000</v>
      </c>
      <c r="E26">
        <v>1450000</v>
      </c>
      <c r="F26" s="2">
        <f t="shared" si="0"/>
        <v>1812.5</v>
      </c>
      <c r="G26">
        <v>450000</v>
      </c>
      <c r="H26">
        <f t="shared" si="1"/>
        <v>562500000</v>
      </c>
    </row>
    <row r="27" spans="1:8" x14ac:dyDescent="0.35">
      <c r="A27" t="s">
        <v>17</v>
      </c>
      <c r="B27" t="s">
        <v>13</v>
      </c>
      <c r="C27">
        <v>1080</v>
      </c>
      <c r="D27">
        <v>1100000</v>
      </c>
      <c r="E27">
        <v>1550000</v>
      </c>
      <c r="F27" s="2">
        <f t="shared" si="0"/>
        <v>1521.8181818181818</v>
      </c>
      <c r="G27">
        <v>450000</v>
      </c>
      <c r="H27">
        <f t="shared" si="1"/>
        <v>486000000</v>
      </c>
    </row>
    <row r="28" spans="1:8" x14ac:dyDescent="0.35">
      <c r="A28" t="s">
        <v>17</v>
      </c>
      <c r="B28" t="s">
        <v>14</v>
      </c>
      <c r="C28">
        <v>2650</v>
      </c>
      <c r="D28">
        <v>550000</v>
      </c>
      <c r="E28">
        <v>700000</v>
      </c>
      <c r="F28" s="2">
        <f t="shared" si="0"/>
        <v>3372.7272727272725</v>
      </c>
      <c r="G28">
        <v>150000</v>
      </c>
      <c r="H28">
        <f t="shared" si="1"/>
        <v>397500000</v>
      </c>
    </row>
    <row r="29" spans="1:8" x14ac:dyDescent="0.35">
      <c r="F29" s="2"/>
    </row>
    <row r="30" spans="1:8" x14ac:dyDescent="0.35">
      <c r="A30" t="s">
        <v>18</v>
      </c>
      <c r="B30" t="s">
        <v>9</v>
      </c>
      <c r="C30">
        <v>4800</v>
      </c>
      <c r="D30">
        <v>650000</v>
      </c>
      <c r="E30">
        <v>850000</v>
      </c>
      <c r="F30" s="2">
        <f t="shared" si="0"/>
        <v>6276.9230769230771</v>
      </c>
      <c r="G30">
        <v>200000</v>
      </c>
      <c r="H30">
        <f t="shared" si="1"/>
        <v>960000000</v>
      </c>
    </row>
    <row r="31" spans="1:8" x14ac:dyDescent="0.35">
      <c r="A31" t="s">
        <v>18</v>
      </c>
      <c r="B31" t="s">
        <v>10</v>
      </c>
      <c r="C31">
        <v>5600</v>
      </c>
      <c r="D31">
        <v>500000</v>
      </c>
      <c r="E31">
        <v>650000</v>
      </c>
      <c r="F31" s="2">
        <f t="shared" si="0"/>
        <v>7280</v>
      </c>
      <c r="G31">
        <v>150000</v>
      </c>
      <c r="H31">
        <f t="shared" si="1"/>
        <v>840000000</v>
      </c>
    </row>
    <row r="32" spans="1:8" x14ac:dyDescent="0.35">
      <c r="A32" t="s">
        <v>18</v>
      </c>
      <c r="B32" t="s">
        <v>11</v>
      </c>
      <c r="C32">
        <v>4300</v>
      </c>
      <c r="D32">
        <v>400000</v>
      </c>
      <c r="E32">
        <v>550000</v>
      </c>
      <c r="F32" s="2">
        <f t="shared" si="0"/>
        <v>5912.5</v>
      </c>
      <c r="G32">
        <v>150000</v>
      </c>
      <c r="H32">
        <f t="shared" si="1"/>
        <v>645000000</v>
      </c>
    </row>
    <row r="33" spans="1:8" x14ac:dyDescent="0.35">
      <c r="A33" t="s">
        <v>18</v>
      </c>
      <c r="B33" t="s">
        <v>12</v>
      </c>
      <c r="C33">
        <v>1450</v>
      </c>
      <c r="D33">
        <v>1000000</v>
      </c>
      <c r="E33">
        <v>1450000</v>
      </c>
      <c r="F33" s="2">
        <f t="shared" si="0"/>
        <v>2102.5</v>
      </c>
      <c r="G33">
        <v>450000</v>
      </c>
      <c r="H33">
        <f t="shared" si="1"/>
        <v>652500000</v>
      </c>
    </row>
    <row r="34" spans="1:8" x14ac:dyDescent="0.35">
      <c r="A34" t="s">
        <v>18</v>
      </c>
      <c r="B34" t="s">
        <v>13</v>
      </c>
      <c r="C34">
        <v>1200</v>
      </c>
      <c r="D34">
        <v>1100000</v>
      </c>
      <c r="E34">
        <v>1550000</v>
      </c>
      <c r="F34" s="2">
        <f t="shared" si="0"/>
        <v>1690.909090909091</v>
      </c>
      <c r="G34">
        <v>450000</v>
      </c>
      <c r="H34">
        <f t="shared" si="1"/>
        <v>540000000</v>
      </c>
    </row>
    <row r="35" spans="1:8" x14ac:dyDescent="0.35">
      <c r="A35" t="s">
        <v>18</v>
      </c>
      <c r="B35" t="s">
        <v>14</v>
      </c>
      <c r="C35">
        <v>3000</v>
      </c>
      <c r="D35">
        <v>550000</v>
      </c>
      <c r="E35">
        <v>700000</v>
      </c>
      <c r="F35" s="2">
        <f t="shared" si="0"/>
        <v>3818.181818181818</v>
      </c>
      <c r="G35">
        <v>150000</v>
      </c>
      <c r="H35">
        <f t="shared" si="1"/>
        <v>450000000</v>
      </c>
    </row>
    <row r="36" spans="1:8" x14ac:dyDescent="0.35">
      <c r="F36" s="2"/>
    </row>
    <row r="37" spans="1:8" x14ac:dyDescent="0.35">
      <c r="A37" t="s">
        <v>19</v>
      </c>
      <c r="B37" t="s">
        <v>9</v>
      </c>
      <c r="C37">
        <v>5000</v>
      </c>
      <c r="D37">
        <v>650000</v>
      </c>
      <c r="E37">
        <v>850000</v>
      </c>
      <c r="F37" s="2">
        <f t="shared" si="0"/>
        <v>6538.4615384615381</v>
      </c>
      <c r="G37">
        <v>200000</v>
      </c>
      <c r="H37">
        <f>C37*G37</f>
        <v>1000000000</v>
      </c>
    </row>
    <row r="38" spans="1:8" x14ac:dyDescent="0.35">
      <c r="A38" t="s">
        <v>19</v>
      </c>
      <c r="B38" t="s">
        <v>10</v>
      </c>
      <c r="C38">
        <v>5900</v>
      </c>
      <c r="D38">
        <v>500000</v>
      </c>
      <c r="E38">
        <v>650000</v>
      </c>
      <c r="F38" s="2">
        <f t="shared" si="0"/>
        <v>7670</v>
      </c>
      <c r="G38">
        <v>150000</v>
      </c>
      <c r="H38">
        <f t="shared" si="1"/>
        <v>885000000</v>
      </c>
    </row>
    <row r="39" spans="1:8" x14ac:dyDescent="0.35">
      <c r="A39" t="s">
        <v>19</v>
      </c>
      <c r="B39" t="s">
        <v>11</v>
      </c>
      <c r="C39">
        <v>4500</v>
      </c>
      <c r="D39">
        <v>400000</v>
      </c>
      <c r="E39">
        <v>550000</v>
      </c>
      <c r="F39" s="2">
        <f t="shared" si="0"/>
        <v>6187.5</v>
      </c>
      <c r="G39">
        <v>150000</v>
      </c>
      <c r="H39">
        <f t="shared" si="1"/>
        <v>675000000</v>
      </c>
    </row>
    <row r="40" spans="1:8" x14ac:dyDescent="0.35">
      <c r="A40" t="s">
        <v>19</v>
      </c>
      <c r="B40" t="s">
        <v>12</v>
      </c>
      <c r="C40">
        <v>1500</v>
      </c>
      <c r="D40">
        <v>1000000</v>
      </c>
      <c r="E40">
        <v>1450000</v>
      </c>
      <c r="F40" s="2">
        <f t="shared" si="0"/>
        <v>2175</v>
      </c>
      <c r="G40">
        <v>450000</v>
      </c>
      <c r="H40">
        <f t="shared" si="1"/>
        <v>675000000</v>
      </c>
    </row>
    <row r="41" spans="1:8" x14ac:dyDescent="0.35">
      <c r="A41" t="s">
        <v>19</v>
      </c>
      <c r="B41" t="s">
        <v>13</v>
      </c>
      <c r="C41">
        <v>1250</v>
      </c>
      <c r="D41">
        <v>1100000</v>
      </c>
      <c r="E41">
        <v>1550000</v>
      </c>
      <c r="F41" s="2">
        <f t="shared" si="0"/>
        <v>1761.3636363636363</v>
      </c>
      <c r="G41">
        <v>450000</v>
      </c>
      <c r="H41">
        <f t="shared" si="1"/>
        <v>562500000</v>
      </c>
    </row>
    <row r="42" spans="1:8" x14ac:dyDescent="0.35">
      <c r="A42" t="s">
        <v>19</v>
      </c>
      <c r="B42" t="s">
        <v>14</v>
      </c>
      <c r="C42">
        <v>3100</v>
      </c>
      <c r="D42">
        <v>550000</v>
      </c>
      <c r="E42">
        <v>700000</v>
      </c>
      <c r="F42" s="2">
        <f t="shared" si="0"/>
        <v>3945.4545454545455</v>
      </c>
      <c r="G42">
        <v>150000</v>
      </c>
      <c r="H42">
        <f t="shared" si="1"/>
        <v>465000000</v>
      </c>
    </row>
    <row r="43" spans="1:8" x14ac:dyDescent="0.35">
      <c r="A43" t="s">
        <v>26</v>
      </c>
      <c r="H43">
        <f>SUBTOTAL(109,Table1[Total Profit])</f>
        <v>23258500000</v>
      </c>
    </row>
  </sheetData>
  <mergeCells count="1">
    <mergeCell ref="J2:L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0BC5-9594-4987-A1FE-9B020BF78F7C}">
  <dimension ref="A1:G8"/>
  <sheetViews>
    <sheetView workbookViewId="0">
      <selection activeCell="O5" sqref="O5"/>
    </sheetView>
  </sheetViews>
  <sheetFormatPr defaultRowHeight="14.5" x14ac:dyDescent="0.35"/>
  <cols>
    <col min="2" max="2" width="10.6328125" bestFit="1" customWidth="1"/>
    <col min="3" max="3" width="18.6328125" customWidth="1"/>
    <col min="4" max="4" width="11.453125" customWidth="1"/>
    <col min="5" max="5" width="9.7265625" customWidth="1"/>
    <col min="6" max="6" width="9.54296875" bestFit="1" customWidth="1"/>
    <col min="7" max="7" width="15.26953125" customWidth="1"/>
  </cols>
  <sheetData>
    <row r="1" spans="1:7" ht="15.5" x14ac:dyDescent="0.35">
      <c r="A1" s="3" t="s">
        <v>0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</row>
    <row r="2" spans="1:7" ht="15.5" x14ac:dyDescent="0.35">
      <c r="A2" s="3" t="s">
        <v>8</v>
      </c>
      <c r="B2" s="3">
        <v>120000000</v>
      </c>
      <c r="C2" s="3">
        <v>50000000</v>
      </c>
      <c r="D2" s="3">
        <v>30000000</v>
      </c>
      <c r="E2" s="3">
        <v>25000000</v>
      </c>
      <c r="F2" s="3">
        <v>40000000</v>
      </c>
      <c r="G2" s="3">
        <f>SUM(B2:F2)</f>
        <v>265000000</v>
      </c>
    </row>
    <row r="3" spans="1:7" ht="15.5" x14ac:dyDescent="0.35">
      <c r="A3" s="3" t="s">
        <v>15</v>
      </c>
      <c r="B3" s="3">
        <v>125000000</v>
      </c>
      <c r="C3" s="3">
        <v>52000000</v>
      </c>
      <c r="D3" s="3">
        <v>32000000</v>
      </c>
      <c r="E3" s="3">
        <v>26000000</v>
      </c>
      <c r="F3" s="3">
        <v>41000000</v>
      </c>
      <c r="G3" s="3">
        <f t="shared" ref="G3:G7" si="0">SUM(B3:F3)</f>
        <v>276000000</v>
      </c>
    </row>
    <row r="4" spans="1:7" ht="15.5" x14ac:dyDescent="0.35">
      <c r="A4" s="3" t="s">
        <v>16</v>
      </c>
      <c r="B4" s="3">
        <v>130000000</v>
      </c>
      <c r="C4" s="3">
        <v>54000000</v>
      </c>
      <c r="D4" s="3">
        <v>35000000</v>
      </c>
      <c r="E4" s="3">
        <v>27000000</v>
      </c>
      <c r="F4" s="3">
        <v>42000000</v>
      </c>
      <c r="G4" s="3">
        <f t="shared" si="0"/>
        <v>288000000</v>
      </c>
    </row>
    <row r="5" spans="1:7" ht="15.5" x14ac:dyDescent="0.35">
      <c r="A5" s="3" t="s">
        <v>17</v>
      </c>
      <c r="B5" s="3">
        <v>128000000</v>
      </c>
      <c r="C5" s="3">
        <v>51000000</v>
      </c>
      <c r="D5" s="3">
        <v>31000000</v>
      </c>
      <c r="E5" s="3">
        <v>25500000</v>
      </c>
      <c r="F5" s="3">
        <v>40500000</v>
      </c>
      <c r="G5" s="3">
        <f t="shared" si="0"/>
        <v>276000000</v>
      </c>
    </row>
    <row r="6" spans="1:7" ht="15.5" x14ac:dyDescent="0.35">
      <c r="A6" s="3" t="s">
        <v>18</v>
      </c>
      <c r="B6" s="3">
        <v>132000000</v>
      </c>
      <c r="C6" s="3">
        <v>55000000</v>
      </c>
      <c r="D6" s="3">
        <v>36000000</v>
      </c>
      <c r="E6" s="3">
        <v>28000000</v>
      </c>
      <c r="F6" s="3">
        <v>42500000</v>
      </c>
      <c r="G6" s="3">
        <f t="shared" si="0"/>
        <v>293500000</v>
      </c>
    </row>
    <row r="7" spans="1:7" ht="15.5" x14ac:dyDescent="0.35">
      <c r="A7" s="3" t="s">
        <v>19</v>
      </c>
      <c r="B7" s="3">
        <v>135000000</v>
      </c>
      <c r="C7" s="3">
        <v>56000000</v>
      </c>
      <c r="D7" s="3">
        <v>37000000</v>
      </c>
      <c r="E7" s="3">
        <v>29000000</v>
      </c>
      <c r="F7" s="3">
        <v>43000000</v>
      </c>
      <c r="G7" s="3">
        <f t="shared" si="0"/>
        <v>300000000</v>
      </c>
    </row>
    <row r="8" spans="1:7" ht="15.5" x14ac:dyDescent="0.35">
      <c r="A8" s="3" t="s">
        <v>26</v>
      </c>
      <c r="B8" s="3"/>
      <c r="C8" s="3"/>
      <c r="D8" s="3"/>
      <c r="E8" s="3"/>
      <c r="F8" s="3"/>
      <c r="G8" s="3">
        <f>SUBTOTAL(109,Table2[Total Expenses])</f>
        <v>1698500000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6A8C-624A-43A4-B1BD-667845EEFA36}">
  <dimension ref="A1:F7"/>
  <sheetViews>
    <sheetView workbookViewId="0">
      <selection activeCell="B12" sqref="B12"/>
    </sheetView>
  </sheetViews>
  <sheetFormatPr defaultRowHeight="14.5" x14ac:dyDescent="0.35"/>
  <cols>
    <col min="1" max="1" width="16.36328125" customWidth="1"/>
    <col min="2" max="2" width="7.81640625" bestFit="1" customWidth="1"/>
    <col min="3" max="3" width="9" customWidth="1"/>
    <col min="4" max="4" width="16.6328125" customWidth="1"/>
    <col min="5" max="5" width="8.7265625" customWidth="1"/>
    <col min="6" max="6" width="15.6328125" customWidth="1"/>
  </cols>
  <sheetData>
    <row r="1" spans="1:6" ht="15.5" x14ac:dyDescent="0.3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5" x14ac:dyDescent="0.35">
      <c r="A2" s="3" t="s">
        <v>33</v>
      </c>
      <c r="B2" s="3" t="s">
        <v>34</v>
      </c>
      <c r="C2" s="3" t="s">
        <v>35</v>
      </c>
      <c r="D2" s="3" t="s">
        <v>9</v>
      </c>
      <c r="E2" s="3">
        <v>1200000</v>
      </c>
      <c r="F2" s="3" t="s">
        <v>36</v>
      </c>
    </row>
    <row r="3" spans="1:6" ht="15.5" x14ac:dyDescent="0.35">
      <c r="A3" s="3" t="s">
        <v>37</v>
      </c>
      <c r="B3" s="3" t="s">
        <v>38</v>
      </c>
      <c r="C3" s="3" t="s">
        <v>39</v>
      </c>
      <c r="D3" s="3" t="s">
        <v>10</v>
      </c>
      <c r="E3" s="3">
        <v>900000</v>
      </c>
      <c r="F3" s="3" t="s">
        <v>40</v>
      </c>
    </row>
    <row r="4" spans="1:6" ht="15.5" x14ac:dyDescent="0.35">
      <c r="A4" s="3" t="s">
        <v>41</v>
      </c>
      <c r="B4" s="3" t="s">
        <v>42</v>
      </c>
      <c r="C4" s="3" t="s">
        <v>35</v>
      </c>
      <c r="D4" s="3" t="s">
        <v>11</v>
      </c>
      <c r="E4" s="3">
        <v>700000</v>
      </c>
      <c r="F4" s="3" t="s">
        <v>43</v>
      </c>
    </row>
    <row r="5" spans="1:6" ht="15.5" x14ac:dyDescent="0.35">
      <c r="A5" s="3" t="s">
        <v>44</v>
      </c>
      <c r="B5" s="3" t="s">
        <v>45</v>
      </c>
      <c r="C5" s="3" t="s">
        <v>39</v>
      </c>
      <c r="D5" s="3" t="s">
        <v>14</v>
      </c>
      <c r="E5" s="3">
        <v>800000</v>
      </c>
      <c r="F5" s="3" t="s">
        <v>36</v>
      </c>
    </row>
    <row r="6" spans="1:6" ht="15.5" x14ac:dyDescent="0.35">
      <c r="A6" s="3" t="s">
        <v>46</v>
      </c>
      <c r="B6" s="3" t="s">
        <v>47</v>
      </c>
      <c r="C6" s="3" t="s">
        <v>35</v>
      </c>
      <c r="D6" s="3" t="s">
        <v>13</v>
      </c>
      <c r="E6" s="3">
        <v>2000000</v>
      </c>
      <c r="F6" s="3" t="s">
        <v>40</v>
      </c>
    </row>
    <row r="7" spans="1:6" ht="15.5" x14ac:dyDescent="0.35">
      <c r="A7" s="3" t="s">
        <v>48</v>
      </c>
      <c r="B7" s="3" t="s">
        <v>49</v>
      </c>
      <c r="C7" s="3" t="s">
        <v>39</v>
      </c>
      <c r="D7" s="3" t="s">
        <v>12</v>
      </c>
      <c r="E7" s="3">
        <v>2200000</v>
      </c>
      <c r="F7" s="3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 dashbord</vt:lpstr>
      <vt:lpstr>Product Sales Data</vt:lpstr>
      <vt:lpstr>Monthly Expenses</vt:lpstr>
      <vt:lpstr>Customer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 dalvi</dc:creator>
  <cp:lastModifiedBy>bhakti dalvi</cp:lastModifiedBy>
  <dcterms:created xsi:type="dcterms:W3CDTF">2025-11-25T15:49:16Z</dcterms:created>
  <dcterms:modified xsi:type="dcterms:W3CDTF">2025-11-26T14:30:54Z</dcterms:modified>
</cp:coreProperties>
</file>